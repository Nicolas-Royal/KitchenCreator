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uario\Documents\Royal-Kitchen-Tools\Catalog Creator\"/>
    </mc:Choice>
  </mc:AlternateContent>
  <xr:revisionPtr revIDLastSave="0" documentId="13_ncr:1_{2021497D-78A2-4DE6-B3D8-4D4659636AE8}" xr6:coauthVersionLast="47" xr6:coauthVersionMax="47" xr10:uidLastSave="{00000000-0000-0000-0000-000000000000}"/>
  <bookViews>
    <workbookView xWindow="0" yWindow="0" windowWidth="19200" windowHeight="21000" activeTab="1" xr2:uid="{00000000-000D-0000-FFFF-FFFF00000000}"/>
  </bookViews>
  <sheets>
    <sheet name="Captura" sheetId="1" r:id="rId1"/>
    <sheet name="Exportar" sheetId="6" r:id="rId2"/>
    <sheet name="DATA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" i="6" l="1"/>
  <c r="Y2" i="6"/>
  <c r="Z2" i="6"/>
  <c r="AA2" i="6"/>
  <c r="AB2" i="6"/>
  <c r="AC2" i="6"/>
  <c r="AD2" i="6"/>
  <c r="AE2" i="6"/>
  <c r="AF2" i="6"/>
  <c r="AG2" i="6"/>
  <c r="AH2" i="6"/>
  <c r="AI2" i="6"/>
  <c r="W2" i="6"/>
  <c r="U2" i="6"/>
  <c r="N2" i="6"/>
  <c r="O2" i="6"/>
  <c r="P2" i="6"/>
  <c r="Q2" i="6"/>
  <c r="M2" i="6"/>
  <c r="C2" i="6"/>
  <c r="D2" i="6"/>
  <c r="E2" i="6"/>
  <c r="F2" i="6"/>
  <c r="G2" i="6"/>
  <c r="H2" i="6"/>
  <c r="B2" i="6"/>
  <c r="V2" i="6"/>
  <c r="T2" i="6"/>
  <c r="S2" i="6"/>
  <c r="R2" i="6"/>
  <c r="L2" i="6"/>
  <c r="K2" i="6"/>
  <c r="J2" i="6"/>
  <c r="I2" i="6"/>
  <c r="A2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B1" authorId="0" shapeId="0" xr:uid="{3D1C6169-FD4D-4621-89CF-CC9A0779F35D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Ancho</t>
        </r>
      </text>
    </comment>
    <comment ref="C1" authorId="0" shapeId="0" xr:uid="{A41638C0-7937-4B96-A0F4-345CD26233EA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Profundidad</t>
        </r>
      </text>
    </comment>
    <comment ref="D1" authorId="0" shapeId="0" xr:uid="{13DE99D0-0F16-4AF5-9FFC-4A8EECE4A5B3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Alto</t>
        </r>
      </text>
    </comment>
    <comment ref="E1" authorId="0" shapeId="0" xr:uid="{0C62E404-86FF-41E0-9E5C-D68A5A9EC607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Altura de Zoclo</t>
        </r>
      </text>
    </comment>
    <comment ref="F1" authorId="0" shapeId="0" xr:uid="{F07340D0-775B-4494-863A-BD495BD80C0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espesor estructura</t>
        </r>
      </text>
    </comment>
    <comment ref="G1" authorId="0" shapeId="0" xr:uid="{D9E3F989-B947-43DE-A60D-5FD944197EDE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espesor puerta</t>
        </r>
      </text>
    </comment>
    <comment ref="H1" authorId="0" shapeId="0" xr:uid="{F5AB41C2-F068-433C-8049-87CFAA076F4F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Espesor del fondo MDF </t>
        </r>
      </text>
    </comment>
  </commentList>
</comments>
</file>

<file path=xl/sharedStrings.xml><?xml version="1.0" encoding="utf-8"?>
<sst xmlns="http://schemas.openxmlformats.org/spreadsheetml/2006/main" count="150" uniqueCount="123">
  <si>
    <t>nombre_salida</t>
  </si>
  <si>
    <t>c01espestr</t>
  </si>
  <si>
    <t>Opción de lista</t>
  </si>
  <si>
    <t>Valor</t>
  </si>
  <si>
    <t>Ninguno</t>
  </si>
  <si>
    <t>Amarre frontal</t>
  </si>
  <si>
    <t>Amarre posterior</t>
  </si>
  <si>
    <t>Amarre frontal + posterior</t>
  </si>
  <si>
    <t>Techo completo</t>
  </si>
  <si>
    <t>Tipo de techo</t>
  </si>
  <si>
    <t>Gabinetes</t>
  </si>
  <si>
    <t>LenX</t>
  </si>
  <si>
    <t>LenY</t>
  </si>
  <si>
    <t>LenZ</t>
  </si>
  <si>
    <t>a02zocalo</t>
  </si>
  <si>
    <t>c02esppuerta</t>
  </si>
  <si>
    <t>c24entrepano</t>
  </si>
  <si>
    <t>Tabla de decision</t>
  </si>
  <si>
    <t>Si</t>
  </si>
  <si>
    <t>No</t>
  </si>
  <si>
    <t>EstiloPuerta</t>
  </si>
  <si>
    <t>Tipo de puerta</t>
  </si>
  <si>
    <t>PUERTA LISA</t>
  </si>
  <si>
    <t>PUERTA ITALIANA</t>
  </si>
  <si>
    <t>PUERTA VIDRIO</t>
  </si>
  <si>
    <t>PUERTA VIDRIO-MADERA</t>
  </si>
  <si>
    <t>PUERTA UÑERO</t>
  </si>
  <si>
    <t>Sin Tirador</t>
  </si>
  <si>
    <t>Tirador secc. circular</t>
  </si>
  <si>
    <t>Tirador secc. cuadrada</t>
  </si>
  <si>
    <t>Tirador arco</t>
  </si>
  <si>
    <t>Tirador botón cuadrado</t>
  </si>
  <si>
    <t>Tirador botón circular</t>
  </si>
  <si>
    <t>Tirador CLE</t>
  </si>
  <si>
    <t>divisor&gt;f01cantdiv</t>
  </si>
  <si>
    <t>divisor&gt;f02tipomedida</t>
  </si>
  <si>
    <t>divisor&gt;f03espacio1</t>
  </si>
  <si>
    <t>divisor&gt;f03espacio2</t>
  </si>
  <si>
    <t>divisor&gt;f03espacio3</t>
  </si>
  <si>
    <t>divisor&gt;f03espacio4</t>
  </si>
  <si>
    <t>divisor&gt;f03espacio5</t>
  </si>
  <si>
    <t>divisor&gt;f03espacio6</t>
  </si>
  <si>
    <t>divisor&gt;f03espacio7</t>
  </si>
  <si>
    <t>divisor&gt;g01margenf1</t>
  </si>
  <si>
    <t>divisor&gt;g01margenf2</t>
  </si>
  <si>
    <t>divisor&gt;g01margenf3</t>
  </si>
  <si>
    <t>divisor&gt;g01margenf4</t>
  </si>
  <si>
    <t>divisor&gt;g01margenf5</t>
  </si>
  <si>
    <t>divisor&gt;g01margenf6</t>
  </si>
  <si>
    <t>puerta&gt;f01posextintpu</t>
  </si>
  <si>
    <t>puerta&gt;f04seppuertas</t>
  </si>
  <si>
    <t>puerta&gt;f11margsupcaj</t>
  </si>
  <si>
    <t>puerta&gt;f12marginfcaj</t>
  </si>
  <si>
    <t>puerta&gt;f13margizqcaj</t>
  </si>
  <si>
    <t>puerta&gt;f14margdercaj</t>
  </si>
  <si>
    <t>puerta&gt;f21tipotirador</t>
  </si>
  <si>
    <t>puerta&gt;f22postirador</t>
  </si>
  <si>
    <t>puerta&gt;f23orienttirador</t>
  </si>
  <si>
    <t>nombre</t>
  </si>
  <si>
    <t>Ancho</t>
  </si>
  <si>
    <t>Profundidad</t>
  </si>
  <si>
    <t>Alto</t>
  </si>
  <si>
    <t>Alto Zocalo</t>
  </si>
  <si>
    <t>Espesor Estructura</t>
  </si>
  <si>
    <t>Espesor puerta</t>
  </si>
  <si>
    <t>Espesor fondo</t>
  </si>
  <si>
    <t>Entrepaño</t>
  </si>
  <si>
    <t>Estilo Puerta</t>
  </si>
  <si>
    <t>Cantidad puertas</t>
  </si>
  <si>
    <t>Puerta/Cajón exterior</t>
  </si>
  <si>
    <t>Puerta/Cajón interior</t>
  </si>
  <si>
    <t>Posición puerta</t>
  </si>
  <si>
    <t>Separación puertas</t>
  </si>
  <si>
    <t>Arriba - Izquierda</t>
  </si>
  <si>
    <t>Arriba - Centro</t>
  </si>
  <si>
    <t>Arriba - Derecha</t>
  </si>
  <si>
    <t>Centro - Izquierda</t>
  </si>
  <si>
    <t>Centro - Centro</t>
  </si>
  <si>
    <t>Centro - Derecha</t>
  </si>
  <si>
    <t>Abajo - Izquierda</t>
  </si>
  <si>
    <t>Abajo - Centro</t>
  </si>
  <si>
    <t>Abajo - Derecha</t>
  </si>
  <si>
    <t>Margen superior</t>
  </si>
  <si>
    <t>Margen inferior</t>
  </si>
  <si>
    <t>Margen izquierdo</t>
  </si>
  <si>
    <t>Margen derecho</t>
  </si>
  <si>
    <t>Tipo de tirador</t>
  </si>
  <si>
    <t>Posicion Tirador</t>
  </si>
  <si>
    <t>Orientacion tirador</t>
  </si>
  <si>
    <t>Tirador horizontal</t>
  </si>
  <si>
    <t>Tirador vertical</t>
  </si>
  <si>
    <t>Cantidad entrepaños</t>
  </si>
  <si>
    <t>Cant Divisores</t>
  </si>
  <si>
    <t>Separaciones iguales</t>
  </si>
  <si>
    <t>Personalizado</t>
  </si>
  <si>
    <t>Tipo de medida</t>
  </si>
  <si>
    <t>Margen Frontal 1</t>
  </si>
  <si>
    <t>Espacio 1 (Inferior)</t>
  </si>
  <si>
    <t>Espacio 2</t>
  </si>
  <si>
    <t>Espacio 3</t>
  </si>
  <si>
    <t>Espacio 4</t>
  </si>
  <si>
    <t>Espacio 5</t>
  </si>
  <si>
    <t>Espacio 6</t>
  </si>
  <si>
    <t>Espacio 7</t>
  </si>
  <si>
    <t>Margen Frontal 2</t>
  </si>
  <si>
    <t>Margen Frontal 3</t>
  </si>
  <si>
    <t>Margen Frontal 4</t>
  </si>
  <si>
    <t>Margen Frontal 5</t>
  </si>
  <si>
    <t>Margen Frontal 6</t>
  </si>
  <si>
    <t>c03espfondo</t>
  </si>
  <si>
    <t>Alacena-01</t>
  </si>
  <si>
    <t>AVENTO S LISA</t>
  </si>
  <si>
    <t>AVENTO S ITALIANA</t>
  </si>
  <si>
    <t>AVENTO S VIDRIO</t>
  </si>
  <si>
    <t>AVENTO S VIDRIO-MADERA</t>
  </si>
  <si>
    <t>AVENTO D LISA</t>
  </si>
  <si>
    <t>AVENTO D ITALIANA</t>
  </si>
  <si>
    <t>AVENTO D VIDRIO</t>
  </si>
  <si>
    <t>AVENTO D VIDRIO-MADERA</t>
  </si>
  <si>
    <t>puerta&gt;e08cantpuvert</t>
  </si>
  <si>
    <t>Puerta simple</t>
  </si>
  <si>
    <t>Puerta doble - individual</t>
  </si>
  <si>
    <t>Puerta doble - unidas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</si>
</sst>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3" borderId="3" xfId="0" applyFill="1" applyBorder="1"/>
    <xf numFmtId="0" fontId="0" fillId="3" borderId="4" xfId="0" applyFill="1" applyBorder="1"/>
    <xf numFmtId="0" fontId="0" fillId="4" borderId="1" xfId="0" applyFill="1" applyBorder="1"/>
    <xf numFmtId="0" fontId="0" fillId="2" borderId="2" xfId="0" applyFill="1" applyBorder="1"/>
    <xf numFmtId="0" fontId="0" fillId="5" borderId="0" xfId="0" applyFill="1"/>
    <xf numFmtId="0" fontId="0" fillId="2" borderId="1" xfId="0" applyFill="1" applyBorder="1"/>
    <xf numFmtId="0" fontId="0" fillId="6" borderId="0" xfId="0" applyFill="1"/>
    <xf numFmtId="0" fontId="0" fillId="7" borderId="0" xfId="0" applyFill="1"/>
    <xf numFmtId="0" fontId="0" fillId="8" borderId="1" xfId="0" applyFill="1" applyBorder="1"/>
    <xf numFmtId="0" fontId="4" fillId="5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"/>
  <sheetViews>
    <sheetView workbookViewId="0">
      <selection activeCell="I17" sqref="I17"/>
    </sheetView>
  </sheetViews>
  <sheetFormatPr baseColWidth="10" defaultColWidth="9.140625" defaultRowHeight="15" x14ac:dyDescent="0.25"/>
  <cols>
    <col min="1" max="1" width="11.85546875" bestFit="1" customWidth="1"/>
    <col min="2" max="2" width="6.5703125" bestFit="1" customWidth="1"/>
    <col min="3" max="3" width="12" bestFit="1" customWidth="1"/>
    <col min="4" max="4" width="4.7109375" bestFit="1" customWidth="1"/>
    <col min="5" max="5" width="10.85546875" bestFit="1" customWidth="1"/>
    <col min="6" max="6" width="17.28515625" bestFit="1" customWidth="1"/>
    <col min="7" max="7" width="14.140625" bestFit="1" customWidth="1"/>
    <col min="8" max="8" width="13.5703125" bestFit="1" customWidth="1"/>
    <col min="9" max="9" width="10.140625" bestFit="1" customWidth="1"/>
    <col min="10" max="10" width="25.5703125" bestFit="1" customWidth="1"/>
    <col min="11" max="11" width="20" bestFit="1" customWidth="1"/>
    <col min="12" max="12" width="20.42578125" bestFit="1" customWidth="1"/>
    <col min="13" max="13" width="18" bestFit="1" customWidth="1"/>
    <col min="14" max="14" width="15.5703125" bestFit="1" customWidth="1"/>
    <col min="15" max="15" width="14.85546875" bestFit="1" customWidth="1"/>
    <col min="16" max="16" width="16.7109375" bestFit="1" customWidth="1"/>
    <col min="17" max="17" width="15.42578125" bestFit="1" customWidth="1"/>
    <col min="18" max="18" width="14" bestFit="1" customWidth="1"/>
    <col min="19" max="19" width="19.85546875" bestFit="1" customWidth="1"/>
    <col min="20" max="20" width="22.28515625" bestFit="1" customWidth="1"/>
    <col min="21" max="22" width="19.5703125" bestFit="1" customWidth="1"/>
    <col min="23" max="23" width="17.85546875" bestFit="1" customWidth="1"/>
    <col min="24" max="29" width="9.140625" bestFit="1" customWidth="1"/>
    <col min="30" max="33" width="18.5703125" bestFit="1" customWidth="1"/>
    <col min="34" max="39" width="19.5703125" bestFit="1" customWidth="1"/>
  </cols>
  <sheetData>
    <row r="1" spans="1:35" x14ac:dyDescent="0.25">
      <c r="A1" s="6" t="s">
        <v>58</v>
      </c>
      <c r="B1" s="6" t="s">
        <v>59</v>
      </c>
      <c r="C1" s="6" t="s">
        <v>60</v>
      </c>
      <c r="D1" s="6" t="s">
        <v>61</v>
      </c>
      <c r="E1" s="6" t="s">
        <v>62</v>
      </c>
      <c r="F1" s="6" t="s">
        <v>63</v>
      </c>
      <c r="G1" s="6" t="s">
        <v>64</v>
      </c>
      <c r="H1" s="6" t="s">
        <v>65</v>
      </c>
      <c r="I1" s="6" t="s">
        <v>66</v>
      </c>
      <c r="J1" s="6" t="s">
        <v>67</v>
      </c>
      <c r="K1" s="9" t="s">
        <v>68</v>
      </c>
      <c r="L1" s="9" t="s">
        <v>71</v>
      </c>
      <c r="M1" s="9" t="s">
        <v>72</v>
      </c>
      <c r="N1" s="9" t="s">
        <v>82</v>
      </c>
      <c r="O1" s="9" t="s">
        <v>83</v>
      </c>
      <c r="P1" s="9" t="s">
        <v>84</v>
      </c>
      <c r="Q1" s="9" t="s">
        <v>85</v>
      </c>
      <c r="R1" s="9" t="s">
        <v>86</v>
      </c>
      <c r="S1" s="9" t="s">
        <v>87</v>
      </c>
      <c r="T1" s="9" t="s">
        <v>88</v>
      </c>
      <c r="U1" s="8" t="s">
        <v>91</v>
      </c>
      <c r="V1" s="8" t="s">
        <v>95</v>
      </c>
      <c r="W1" s="8" t="s">
        <v>97</v>
      </c>
      <c r="X1" s="8" t="s">
        <v>98</v>
      </c>
      <c r="Y1" s="8" t="s">
        <v>99</v>
      </c>
      <c r="Z1" s="8" t="s">
        <v>100</v>
      </c>
      <c r="AA1" s="8" t="s">
        <v>101</v>
      </c>
      <c r="AB1" s="8" t="s">
        <v>102</v>
      </c>
      <c r="AC1" s="8" t="s">
        <v>103</v>
      </c>
      <c r="AD1" s="8" t="s">
        <v>96</v>
      </c>
      <c r="AE1" s="8" t="s">
        <v>104</v>
      </c>
      <c r="AF1" s="8" t="s">
        <v>105</v>
      </c>
      <c r="AG1" s="8" t="s">
        <v>106</v>
      </c>
      <c r="AH1" s="8" t="s">
        <v>107</v>
      </c>
      <c r="AI1" s="8" t="s">
        <v>108</v>
      </c>
    </row>
    <row r="2" spans="1:35" x14ac:dyDescent="0.25">
      <c r="A2" t="s">
        <v>110</v>
      </c>
      <c r="B2">
        <v>800</v>
      </c>
      <c r="C2">
        <v>600</v>
      </c>
      <c r="D2">
        <v>600</v>
      </c>
      <c r="E2">
        <v>100</v>
      </c>
      <c r="F2">
        <v>18</v>
      </c>
      <c r="G2">
        <v>18</v>
      </c>
      <c r="H2">
        <v>12</v>
      </c>
      <c r="I2" t="s">
        <v>19</v>
      </c>
      <c r="J2" t="s">
        <v>118</v>
      </c>
      <c r="K2" t="s">
        <v>122</v>
      </c>
      <c r="L2" t="s">
        <v>69</v>
      </c>
      <c r="M2">
        <v>3</v>
      </c>
      <c r="N2">
        <v>0</v>
      </c>
      <c r="O2">
        <v>0</v>
      </c>
      <c r="P2">
        <v>2</v>
      </c>
      <c r="Q2">
        <v>2</v>
      </c>
      <c r="R2" t="s">
        <v>30</v>
      </c>
      <c r="S2" t="s">
        <v>75</v>
      </c>
      <c r="T2" t="s">
        <v>90</v>
      </c>
      <c r="U2">
        <v>2</v>
      </c>
      <c r="V2" t="s">
        <v>93</v>
      </c>
      <c r="W2">
        <v>0</v>
      </c>
      <c r="X2">
        <v>0</v>
      </c>
      <c r="Y2">
        <v>0</v>
      </c>
      <c r="Z2">
        <v>0</v>
      </c>
      <c r="AA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9">
        <x14:dataValidation type="list" allowBlank="1" showInputMessage="1" showErrorMessage="1" xr:uid="{9CD30592-77FC-416D-AFA0-E6E6789159CB}">
          <x14:formula1>
            <xm:f>DATA!$D$6:$D$19</xm:f>
          </x14:formula1>
          <xm:sqref>J2</xm:sqref>
        </x14:dataValidation>
        <x14:dataValidation type="list" allowBlank="1" showInputMessage="1" showErrorMessage="1" xr:uid="{DD1919FB-A0CE-44E0-8C42-F64D483EC4A7}">
          <x14:formula1>
            <xm:f>DATA!$G$6:$G$8</xm:f>
          </x14:formula1>
          <xm:sqref>K2</xm:sqref>
        </x14:dataValidation>
        <x14:dataValidation type="list" allowBlank="1" showInputMessage="1" showErrorMessage="1" xr:uid="{4CFE03A2-855D-4B24-8E09-FCF5725CFD7B}">
          <x14:formula1>
            <xm:f>DATA!$M$6:$M$7</xm:f>
          </x14:formula1>
          <xm:sqref>L2</xm:sqref>
        </x14:dataValidation>
        <x14:dataValidation type="list" allowBlank="1" showInputMessage="1" showErrorMessage="1" xr:uid="{5A7BA12E-32AC-4063-98ED-A3EC1ECB90CB}">
          <x14:formula1>
            <xm:f>DATA!$J$6:$J$12</xm:f>
          </x14:formula1>
          <xm:sqref>R2</xm:sqref>
        </x14:dataValidation>
        <x14:dataValidation type="list" allowBlank="1" showInputMessage="1" showErrorMessage="1" xr:uid="{DDCAB23B-2ABF-4122-B348-1C893C883A82}">
          <x14:formula1>
            <xm:f>DATA!$P$6:$P$14</xm:f>
          </x14:formula1>
          <xm:sqref>S2</xm:sqref>
        </x14:dataValidation>
        <x14:dataValidation type="list" allowBlank="1" showInputMessage="1" showErrorMessage="1" xr:uid="{907BFF2D-8812-4942-89EC-D2D5B269F8FE}">
          <x14:formula1>
            <xm:f>DATA!$M$11:$M$12</xm:f>
          </x14:formula1>
          <xm:sqref>T2</xm:sqref>
        </x14:dataValidation>
        <x14:dataValidation type="list" allowBlank="1" showInputMessage="1" showErrorMessage="1" xr:uid="{6061B507-0CC1-48A6-B201-DC1410F9FA76}">
          <x14:formula1>
            <xm:f>DATA!$S$6:$S$11</xm:f>
          </x14:formula1>
          <xm:sqref>U2</xm:sqref>
        </x14:dataValidation>
        <x14:dataValidation type="list" allowBlank="1" showInputMessage="1" showErrorMessage="1" xr:uid="{060682F1-BB96-4066-A30E-5DBEEF84331A}">
          <x14:formula1>
            <xm:f>DATA!$M$16:$M$17</xm:f>
          </x14:formula1>
          <xm:sqref>V2</xm:sqref>
        </x14:dataValidation>
        <x14:dataValidation type="list" allowBlank="1" showInputMessage="1" showErrorMessage="1" xr:uid="{6FA6AC57-2462-4998-936B-50091F3D0145}">
          <x14:formula1>
            <xm:f>DATA!$A$14:$A$15</xm:f>
          </x14:formula1>
          <xm:sqref>I2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E8D38-6A3F-4EA8-A672-415760CE031C}">
  <dimension ref="A1:AI2"/>
  <sheetViews>
    <sheetView tabSelected="1" workbookViewId="0">
      <selection activeCell="AF12" sqref="AF12"/>
    </sheetView>
  </sheetViews>
  <sheetFormatPr baseColWidth="10" defaultColWidth="9.140625" defaultRowHeight="15" x14ac:dyDescent="0.25"/>
  <cols>
    <col min="1" max="1" width="15.85546875" bestFit="1" customWidth="1"/>
    <col min="2" max="2" width="7.42578125" bestFit="1" customWidth="1"/>
    <col min="3" max="3" width="6.5703125" bestFit="1" customWidth="1"/>
    <col min="4" max="4" width="12" bestFit="1" customWidth="1"/>
    <col min="5" max="5" width="9.5703125" bestFit="1" customWidth="1"/>
    <col min="6" max="6" width="10.85546875" bestFit="1" customWidth="1"/>
    <col min="7" max="7" width="12.85546875" bestFit="1" customWidth="1"/>
    <col min="8" max="8" width="14.140625" bestFit="1" customWidth="1"/>
    <col min="9" max="9" width="13.5703125" bestFit="1" customWidth="1"/>
    <col min="10" max="10" width="11.7109375" bestFit="1" customWidth="1"/>
    <col min="11" max="11" width="20.7109375" bestFit="1" customWidth="1"/>
    <col min="12" max="12" width="21.5703125" bestFit="1" customWidth="1"/>
    <col min="13" max="13" width="20.5703125" bestFit="1" customWidth="1"/>
    <col min="14" max="14" width="20.7109375" bestFit="1" customWidth="1"/>
    <col min="15" max="15" width="20" bestFit="1" customWidth="1"/>
    <col min="16" max="16" width="20.140625" bestFit="1" customWidth="1"/>
    <col min="17" max="17" width="20.5703125" bestFit="1" customWidth="1"/>
    <col min="18" max="18" width="19.85546875" bestFit="1" customWidth="1"/>
    <col min="19" max="20" width="22.28515625" bestFit="1" customWidth="1"/>
    <col min="21" max="21" width="17.28515625" bestFit="1" customWidth="1"/>
    <col min="22" max="22" width="21.28515625" bestFit="1" customWidth="1"/>
    <col min="23" max="32" width="18.5703125" bestFit="1" customWidth="1"/>
    <col min="33" max="38" width="19.5703125" bestFit="1" customWidth="1"/>
  </cols>
  <sheetData>
    <row r="1" spans="1:35" x14ac:dyDescent="0.25">
      <c r="A1" s="11" t="s">
        <v>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</v>
      </c>
      <c r="G1" s="6" t="s">
        <v>15</v>
      </c>
      <c r="H1" s="6" t="s">
        <v>109</v>
      </c>
      <c r="I1" s="6" t="s">
        <v>16</v>
      </c>
      <c r="J1" s="6" t="s">
        <v>20</v>
      </c>
      <c r="K1" s="9" t="s">
        <v>119</v>
      </c>
      <c r="L1" s="9" t="s">
        <v>49</v>
      </c>
      <c r="M1" s="9" t="s">
        <v>50</v>
      </c>
      <c r="N1" s="9" t="s">
        <v>51</v>
      </c>
      <c r="O1" s="9" t="s">
        <v>52</v>
      </c>
      <c r="P1" s="9" t="s">
        <v>53</v>
      </c>
      <c r="Q1" s="9" t="s">
        <v>54</v>
      </c>
      <c r="R1" s="9" t="s">
        <v>55</v>
      </c>
      <c r="S1" s="9" t="s">
        <v>56</v>
      </c>
      <c r="T1" s="9" t="s">
        <v>57</v>
      </c>
      <c r="U1" s="8" t="s">
        <v>34</v>
      </c>
      <c r="V1" s="8" t="s">
        <v>35</v>
      </c>
      <c r="W1" s="8" t="s">
        <v>36</v>
      </c>
      <c r="X1" s="8" t="s">
        <v>37</v>
      </c>
      <c r="Y1" s="8" t="s">
        <v>38</v>
      </c>
      <c r="Z1" s="8" t="s">
        <v>39</v>
      </c>
      <c r="AA1" s="8" t="s">
        <v>40</v>
      </c>
      <c r="AB1" s="8" t="s">
        <v>41</v>
      </c>
      <c r="AC1" s="8" t="s">
        <v>42</v>
      </c>
      <c r="AD1" s="8" t="s">
        <v>43</v>
      </c>
      <c r="AE1" s="8" t="s">
        <v>44</v>
      </c>
      <c r="AF1" s="8" t="s">
        <v>45</v>
      </c>
      <c r="AG1" s="8" t="s">
        <v>46</v>
      </c>
      <c r="AH1" s="8" t="s">
        <v>47</v>
      </c>
      <c r="AI1" s="8" t="s">
        <v>48</v>
      </c>
    </row>
    <row r="2" spans="1:35" x14ac:dyDescent="0.25">
      <c r="A2" t="str">
        <f>Captura!A2</f>
        <v>Alacena-01</v>
      </c>
      <c r="B2" t="str">
        <f>_xlfn.CONCAT(Captura!B2,"mm")</f>
        <v>800mm</v>
      </c>
      <c r="C2" t="str">
        <f>_xlfn.CONCAT(Captura!C2,"mm")</f>
        <v>600mm</v>
      </c>
      <c r="D2" t="str">
        <f>_xlfn.CONCAT(Captura!D2,"mm")</f>
        <v>600mm</v>
      </c>
      <c r="E2" t="str">
        <f>_xlfn.CONCAT(Captura!E2,"mm")</f>
        <v>100mm</v>
      </c>
      <c r="F2" t="str">
        <f>_xlfn.CONCAT(Captura!F2,"mm")</f>
        <v>18mm</v>
      </c>
      <c r="G2" t="str">
        <f>_xlfn.CONCAT(Captura!G2,"mm")</f>
        <v>18mm</v>
      </c>
      <c r="H2" t="str">
        <f>_xlfn.CONCAT(Captura!H2,"mm")</f>
        <v>12mm</v>
      </c>
      <c r="I2">
        <f>_xlfn.XLOOKUP(Captura!I2, DATA!A:A, DATA!B:B, "")</f>
        <v>1</v>
      </c>
      <c r="J2">
        <f>_xlfn.XLOOKUP(Captura!J2, DATA!D:D, DATA!E:E, "")</f>
        <v>13</v>
      </c>
      <c r="K2">
        <f>_xlfn.XLOOKUP(Captura!K2, DATA!G:G, DATA!H:H, "")</f>
        <v>3</v>
      </c>
      <c r="L2">
        <f>_xlfn.XLOOKUP(Captura!L2, DATA!M:M, DATA!N:N, "")</f>
        <v>1</v>
      </c>
      <c r="M2" t="str">
        <f>_xlfn.CONCAT(Captura!M2,"mm")</f>
        <v>3mm</v>
      </c>
      <c r="N2" t="str">
        <f>_xlfn.CONCAT(Captura!N2,"mm")</f>
        <v>0mm</v>
      </c>
      <c r="O2" t="str">
        <f>_xlfn.CONCAT(Captura!O2,"mm")</f>
        <v>0mm</v>
      </c>
      <c r="P2" t="str">
        <f>_xlfn.CONCAT(Captura!P2,"mm")</f>
        <v>2mm</v>
      </c>
      <c r="Q2" t="str">
        <f>_xlfn.CONCAT(Captura!Q2,"mm")</f>
        <v>2mm</v>
      </c>
      <c r="R2">
        <f>_xlfn.XLOOKUP(Captura!R2, DATA!J:J, DATA!K:K, "")</f>
        <v>4</v>
      </c>
      <c r="S2">
        <f>_xlfn.XLOOKUP(Captura!S2, DATA!P:P, DATA!Q:Q, "")</f>
        <v>3</v>
      </c>
      <c r="T2">
        <f>_xlfn.XLOOKUP(Captura!T2, DATA!M:M, DATA!N:N, "")</f>
        <v>2</v>
      </c>
      <c r="U2" t="str">
        <f>_xlfn.CONCAT(Captura!U2,"mm")</f>
        <v>2mm</v>
      </c>
      <c r="V2">
        <f>_xlfn.XLOOKUP(Captura!V2, DATA!M:M, DATA!N:N, "")</f>
        <v>1</v>
      </c>
      <c r="W2" t="str">
        <f>_xlfn.CONCAT(Captura!W2,"mm")</f>
        <v>0mm</v>
      </c>
      <c r="X2" t="str">
        <f>_xlfn.CONCAT(Captura!X2,"mm")</f>
        <v>0mm</v>
      </c>
      <c r="Y2" t="str">
        <f>_xlfn.CONCAT(Captura!Y2,"mm")</f>
        <v>0mm</v>
      </c>
      <c r="Z2" t="str">
        <f>_xlfn.CONCAT(Captura!Z2,"mm")</f>
        <v>0mm</v>
      </c>
      <c r="AA2" t="str">
        <f>_xlfn.CONCAT(Captura!AA2,"mm")</f>
        <v>0mm</v>
      </c>
      <c r="AB2" t="str">
        <f>_xlfn.CONCAT(Captura!AB2,"mm")</f>
        <v>mm</v>
      </c>
      <c r="AC2" t="str">
        <f>_xlfn.CONCAT(Captura!AC2,"mm")</f>
        <v>0mm</v>
      </c>
      <c r="AD2" t="str">
        <f>_xlfn.CONCAT(Captura!AD2,"mm")</f>
        <v>0mm</v>
      </c>
      <c r="AE2" t="str">
        <f>_xlfn.CONCAT(Captura!AE2,"mm")</f>
        <v>0mm</v>
      </c>
      <c r="AF2" t="str">
        <f>_xlfn.CONCAT(Captura!AF2,"mm")</f>
        <v>0mm</v>
      </c>
      <c r="AG2" t="str">
        <f>_xlfn.CONCAT(Captura!AG2,"mm")</f>
        <v>0mm</v>
      </c>
      <c r="AH2" t="str">
        <f>_xlfn.CONCAT(Captura!AH2,"mm")</f>
        <v>0mm</v>
      </c>
      <c r="AI2" t="str">
        <f>_xlfn.CONCAT(Captura!AI2,"mm")</f>
        <v>0mm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066DB-84B3-41AD-B37F-9EEED93C88DF}">
  <dimension ref="A2:T19"/>
  <sheetViews>
    <sheetView workbookViewId="0">
      <selection activeCell="L22" sqref="L22"/>
    </sheetView>
  </sheetViews>
  <sheetFormatPr baseColWidth="10" defaultRowHeight="15" x14ac:dyDescent="0.25"/>
  <cols>
    <col min="1" max="1" width="24.28515625" bestFit="1" customWidth="1"/>
    <col min="2" max="3" width="5.7109375" bestFit="1" customWidth="1"/>
    <col min="4" max="4" width="25.5703125" bestFit="1" customWidth="1"/>
    <col min="5" max="5" width="5.7109375" bestFit="1" customWidth="1"/>
    <col min="7" max="7" width="18.42578125" bestFit="1" customWidth="1"/>
    <col min="8" max="8" width="5.7109375" bestFit="1" customWidth="1"/>
    <col min="10" max="10" width="21.85546875" bestFit="1" customWidth="1"/>
    <col min="11" max="11" width="5.7109375" bestFit="1" customWidth="1"/>
    <col min="13" max="13" width="20.42578125" bestFit="1" customWidth="1"/>
    <col min="14" max="14" width="5.7109375" bestFit="1" customWidth="1"/>
    <col min="16" max="16" width="17" bestFit="1" customWidth="1"/>
    <col min="17" max="17" width="8.5703125" bestFit="1" customWidth="1"/>
    <col min="19" max="19" width="14.140625" bestFit="1" customWidth="1"/>
  </cols>
  <sheetData>
    <row r="2" spans="1:20" x14ac:dyDescent="0.25">
      <c r="A2" s="4" t="s">
        <v>10</v>
      </c>
    </row>
    <row r="4" spans="1:20" x14ac:dyDescent="0.25">
      <c r="A4" s="2" t="s">
        <v>9</v>
      </c>
      <c r="B4" s="3"/>
      <c r="D4" s="2" t="s">
        <v>21</v>
      </c>
      <c r="E4" s="3"/>
      <c r="G4" s="2"/>
      <c r="H4" s="3"/>
      <c r="J4" s="2"/>
      <c r="K4" s="3"/>
      <c r="M4" s="2"/>
      <c r="N4" s="3"/>
      <c r="P4" s="10"/>
      <c r="Q4" s="10"/>
      <c r="S4" s="10" t="s">
        <v>92</v>
      </c>
      <c r="T4" s="10"/>
    </row>
    <row r="5" spans="1:20" x14ac:dyDescent="0.25">
      <c r="A5" s="5" t="s">
        <v>2</v>
      </c>
      <c r="B5" s="5" t="s">
        <v>3</v>
      </c>
      <c r="D5" s="5" t="s">
        <v>2</v>
      </c>
      <c r="E5" s="5" t="s">
        <v>3</v>
      </c>
      <c r="G5" s="7" t="s">
        <v>2</v>
      </c>
      <c r="H5" s="7" t="s">
        <v>3</v>
      </c>
      <c r="J5" s="7" t="s">
        <v>2</v>
      </c>
      <c r="K5" s="7" t="s">
        <v>3</v>
      </c>
      <c r="M5" s="7" t="s">
        <v>2</v>
      </c>
      <c r="N5" s="7" t="s">
        <v>3</v>
      </c>
      <c r="P5" s="7" t="s">
        <v>2</v>
      </c>
      <c r="Q5" s="7" t="s">
        <v>3</v>
      </c>
      <c r="S5" s="7" t="s">
        <v>2</v>
      </c>
      <c r="T5" s="7" t="s">
        <v>3</v>
      </c>
    </row>
    <row r="6" spans="1:20" x14ac:dyDescent="0.25">
      <c r="A6" s="1" t="s">
        <v>4</v>
      </c>
      <c r="B6" s="1">
        <v>1</v>
      </c>
      <c r="D6" s="1" t="s">
        <v>4</v>
      </c>
      <c r="E6" s="1">
        <v>0</v>
      </c>
      <c r="G6" s="1" t="s">
        <v>120</v>
      </c>
      <c r="H6" s="1">
        <v>1</v>
      </c>
      <c r="J6" s="1" t="s">
        <v>27</v>
      </c>
      <c r="K6" s="1">
        <v>1</v>
      </c>
      <c r="M6" s="1" t="s">
        <v>69</v>
      </c>
      <c r="N6" s="1">
        <v>1</v>
      </c>
      <c r="P6" s="1" t="s">
        <v>73</v>
      </c>
      <c r="Q6" s="1">
        <v>1</v>
      </c>
      <c r="S6" s="1">
        <v>1</v>
      </c>
      <c r="T6" s="1">
        <v>1</v>
      </c>
    </row>
    <row r="7" spans="1:20" x14ac:dyDescent="0.25">
      <c r="A7" s="1" t="s">
        <v>5</v>
      </c>
      <c r="B7" s="1">
        <v>2</v>
      </c>
      <c r="D7" s="1" t="s">
        <v>22</v>
      </c>
      <c r="E7" s="1">
        <v>1</v>
      </c>
      <c r="G7" s="1" t="s">
        <v>121</v>
      </c>
      <c r="H7" s="1">
        <v>2</v>
      </c>
      <c r="J7" s="1" t="s">
        <v>28</v>
      </c>
      <c r="K7" s="1">
        <v>2</v>
      </c>
      <c r="M7" s="1" t="s">
        <v>70</v>
      </c>
      <c r="N7" s="1">
        <v>2</v>
      </c>
      <c r="P7" s="1" t="s">
        <v>74</v>
      </c>
      <c r="Q7" s="1">
        <v>2</v>
      </c>
      <c r="S7" s="1">
        <v>2</v>
      </c>
      <c r="T7" s="1">
        <v>2</v>
      </c>
    </row>
    <row r="8" spans="1:20" x14ac:dyDescent="0.25">
      <c r="A8" s="1" t="s">
        <v>6</v>
      </c>
      <c r="B8" s="1">
        <v>3</v>
      </c>
      <c r="D8" s="1" t="s">
        <v>23</v>
      </c>
      <c r="E8" s="1">
        <v>2</v>
      </c>
      <c r="G8" s="1" t="s">
        <v>122</v>
      </c>
      <c r="H8" s="1">
        <v>3</v>
      </c>
      <c r="J8" s="1" t="s">
        <v>29</v>
      </c>
      <c r="K8" s="1">
        <v>3</v>
      </c>
      <c r="P8" s="1" t="s">
        <v>75</v>
      </c>
      <c r="Q8" s="1">
        <v>3</v>
      </c>
      <c r="S8" s="1">
        <v>3</v>
      </c>
      <c r="T8" s="1">
        <v>3</v>
      </c>
    </row>
    <row r="9" spans="1:20" x14ac:dyDescent="0.25">
      <c r="A9" s="1" t="s">
        <v>7</v>
      </c>
      <c r="B9" s="1">
        <v>4</v>
      </c>
      <c r="D9" s="1" t="s">
        <v>24</v>
      </c>
      <c r="E9" s="1">
        <v>3</v>
      </c>
      <c r="J9" s="1" t="s">
        <v>30</v>
      </c>
      <c r="K9" s="1">
        <v>4</v>
      </c>
      <c r="M9" s="2"/>
      <c r="N9" s="3"/>
      <c r="P9" s="1" t="s">
        <v>76</v>
      </c>
      <c r="Q9" s="1">
        <v>4</v>
      </c>
      <c r="S9" s="1">
        <v>4</v>
      </c>
      <c r="T9" s="1">
        <v>4</v>
      </c>
    </row>
    <row r="10" spans="1:20" x14ac:dyDescent="0.25">
      <c r="A10" s="1" t="s">
        <v>8</v>
      </c>
      <c r="B10" s="1">
        <v>5</v>
      </c>
      <c r="D10" s="1" t="s">
        <v>25</v>
      </c>
      <c r="E10" s="1">
        <v>4</v>
      </c>
      <c r="J10" s="1" t="s">
        <v>31</v>
      </c>
      <c r="K10" s="1">
        <v>5</v>
      </c>
      <c r="M10" s="7" t="s">
        <v>2</v>
      </c>
      <c r="N10" s="7" t="s">
        <v>3</v>
      </c>
      <c r="P10" s="1" t="s">
        <v>77</v>
      </c>
      <c r="Q10" s="1">
        <v>5</v>
      </c>
      <c r="S10" s="1">
        <v>5</v>
      </c>
      <c r="T10" s="1">
        <v>5</v>
      </c>
    </row>
    <row r="11" spans="1:20" x14ac:dyDescent="0.25">
      <c r="D11" s="1" t="s">
        <v>26</v>
      </c>
      <c r="E11" s="1">
        <v>5</v>
      </c>
      <c r="J11" s="1" t="s">
        <v>32</v>
      </c>
      <c r="K11" s="1">
        <v>6</v>
      </c>
      <c r="M11" s="1" t="s">
        <v>89</v>
      </c>
      <c r="N11" s="1">
        <v>1</v>
      </c>
      <c r="P11" s="1" t="s">
        <v>78</v>
      </c>
      <c r="Q11" s="1">
        <v>6</v>
      </c>
      <c r="S11" s="1">
        <v>6</v>
      </c>
      <c r="T11" s="1">
        <v>6</v>
      </c>
    </row>
    <row r="12" spans="1:20" x14ac:dyDescent="0.25">
      <c r="A12" t="s">
        <v>17</v>
      </c>
      <c r="D12" s="1" t="s">
        <v>111</v>
      </c>
      <c r="E12" s="1">
        <v>6</v>
      </c>
      <c r="J12" s="1" t="s">
        <v>33</v>
      </c>
      <c r="K12" s="1">
        <v>7</v>
      </c>
      <c r="M12" s="1" t="s">
        <v>90</v>
      </c>
      <c r="N12" s="1">
        <v>2</v>
      </c>
      <c r="P12" s="1" t="s">
        <v>79</v>
      </c>
      <c r="Q12" s="1">
        <v>7</v>
      </c>
    </row>
    <row r="13" spans="1:20" x14ac:dyDescent="0.25">
      <c r="A13" s="7" t="s">
        <v>2</v>
      </c>
      <c r="B13" s="7" t="s">
        <v>3</v>
      </c>
      <c r="D13" s="1" t="s">
        <v>112</v>
      </c>
      <c r="E13" s="1">
        <v>7</v>
      </c>
      <c r="P13" s="1" t="s">
        <v>80</v>
      </c>
      <c r="Q13" s="1">
        <v>8</v>
      </c>
    </row>
    <row r="14" spans="1:20" x14ac:dyDescent="0.25">
      <c r="A14" s="1" t="s">
        <v>18</v>
      </c>
      <c r="B14" s="1">
        <v>0</v>
      </c>
      <c r="D14" s="1" t="s">
        <v>113</v>
      </c>
      <c r="E14" s="1">
        <v>8</v>
      </c>
      <c r="M14" s="2"/>
      <c r="N14" s="3"/>
      <c r="P14" s="1" t="s">
        <v>81</v>
      </c>
      <c r="Q14" s="1">
        <v>9</v>
      </c>
    </row>
    <row r="15" spans="1:20" x14ac:dyDescent="0.25">
      <c r="A15" s="1" t="s">
        <v>19</v>
      </c>
      <c r="B15" s="1">
        <v>1</v>
      </c>
      <c r="D15" s="1" t="s">
        <v>114</v>
      </c>
      <c r="E15" s="1">
        <v>9</v>
      </c>
      <c r="M15" s="7" t="s">
        <v>2</v>
      </c>
      <c r="N15" s="7" t="s">
        <v>3</v>
      </c>
    </row>
    <row r="16" spans="1:20" x14ac:dyDescent="0.25">
      <c r="D16" s="1" t="s">
        <v>115</v>
      </c>
      <c r="E16" s="1">
        <v>10</v>
      </c>
      <c r="M16" s="1" t="s">
        <v>93</v>
      </c>
      <c r="N16" s="1">
        <v>1</v>
      </c>
    </row>
    <row r="17" spans="4:14" x14ac:dyDescent="0.25">
      <c r="D17" s="1" t="s">
        <v>116</v>
      </c>
      <c r="E17" s="1">
        <v>11</v>
      </c>
      <c r="M17" s="1" t="s">
        <v>94</v>
      </c>
      <c r="N17" s="1">
        <v>2</v>
      </c>
    </row>
    <row r="18" spans="4:14" x14ac:dyDescent="0.25">
      <c r="D18" s="1" t="s">
        <v>117</v>
      </c>
      <c r="E18" s="1">
        <v>12</v>
      </c>
    </row>
    <row r="19" spans="4:14" x14ac:dyDescent="0.25">
      <c r="D19" s="1" t="s">
        <v>118</v>
      </c>
      <c r="E19" s="1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Captura</vt:lpstr>
      <vt:lpstr>Exportar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Community Manager</cp:lastModifiedBy>
  <dcterms:created xsi:type="dcterms:W3CDTF">2015-06-05T18:19:34Z</dcterms:created>
  <dcterms:modified xsi:type="dcterms:W3CDTF">2026-06-24T15:05:25Z</dcterms:modified>
</cp:coreProperties>
</file>